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8_{172F921C-31DA-4F82-AAF6-BFA1E3911C96}" xr6:coauthVersionLast="47" xr6:coauthVersionMax="47" xr10:uidLastSave="{00000000-0000-0000-0000-000000000000}"/>
  <bookViews>
    <workbookView xWindow="-108" yWindow="-108" windowWidth="23256" windowHeight="12456" activeTab="3" xr2:uid="{B12EB3F7-405F-4A4D-A2A1-F5A7EE9C52E6}"/>
  </bookViews>
  <sheets>
    <sheet name="department" sheetId="3" r:id="rId1"/>
    <sheet name="employee" sheetId="2" r:id="rId2"/>
    <sheet name="KPIs" sheetId="1" r:id="rId3"/>
    <sheet name="Dashboard" sheetId="4" r:id="rId4"/>
  </sheets>
  <definedNames>
    <definedName name="_xlcn.WorksheetConnection_Book2Table31" hidden="1">Table3[]</definedName>
    <definedName name="_xlcn.WorksheetConnection_Book2Table41" hidden="1">Table4[]</definedName>
  </definedNames>
  <calcPr calcId="191029"/>
  <pivotCaches>
    <pivotCache cacheId="32" r:id="rId5"/>
    <pivotCache cacheId="43" r:id="rId6"/>
    <pivotCache cacheId="65" r:id="rId7"/>
    <pivotCache cacheId="78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Book2!Table4"/>
          <x15:modelTable id="Table3" name="Table3" connection="WorksheetConnection_Book2!Table3"/>
        </x15:modelTables>
        <x15:modelRelationships>
          <x15:modelRelationship fromTable="Table3" fromColumn="dept_id" toTable="Table4" toColumn="dep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67E0A0-E9F4-438C-90DF-ADB0937D7DFA}" keepAlive="1" name="Query - department" description="Connection to the 'department' query in the workbook." type="5" refreshedVersion="0" background="1">
    <dbPr connection="Provider=Microsoft.Mashup.OleDb.1;Data Source=$Workbook$;Location=department;Extended Properties=&quot;&quot;" command="SELECT * FROM [department]"/>
  </connection>
  <connection id="2" xr16:uid="{84D5A3BF-3C4B-4793-B6D2-1CDA636A24D8}" keepAlive="1" name="Query - employee" description="Connection to the 'employee' query in the workbook." type="5" refreshedVersion="0" background="1">
    <dbPr connection="Provider=Microsoft.Mashup.OleDb.1;Data Source=$Workbook$;Location=employee;Extended Properties=&quot;&quot;" command="SELECT * FROM [employee]"/>
  </connection>
  <connection id="3" xr16:uid="{265B8D4B-2B34-4160-96C9-874A29D9DAA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FEEA973-6827-41B0-9B1A-298DF5271A72}" name="WorksheetConnection_Book2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Book2Table31"/>
        </x15:connection>
      </ext>
    </extLst>
  </connection>
  <connection id="5" xr16:uid="{2A13183B-E142-47FB-A25C-DF511F99CEAB}" name="WorksheetConnection_Book2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Book2Table41"/>
        </x15:connection>
      </ext>
    </extLst>
  </connection>
</connections>
</file>

<file path=xl/sharedStrings.xml><?xml version="1.0" encoding="utf-8"?>
<sst xmlns="http://schemas.openxmlformats.org/spreadsheetml/2006/main" count="68" uniqueCount="34">
  <si>
    <t>emp_id</t>
  </si>
  <si>
    <t>emp_name</t>
  </si>
  <si>
    <t>gender</t>
  </si>
  <si>
    <t>age</t>
  </si>
  <si>
    <t>salary</t>
  </si>
  <si>
    <t>dept_id</t>
  </si>
  <si>
    <t>join_date</t>
  </si>
  <si>
    <t>position_job_role</t>
  </si>
  <si>
    <t>Amit</t>
  </si>
  <si>
    <t>Software Developer</t>
  </si>
  <si>
    <t>Shradha</t>
  </si>
  <si>
    <t>HR Associate</t>
  </si>
  <si>
    <t>Ravi</t>
  </si>
  <si>
    <t>IT Manager</t>
  </si>
  <si>
    <t>Neha</t>
  </si>
  <si>
    <t>Finance Analyst</t>
  </si>
  <si>
    <t>Divya</t>
  </si>
  <si>
    <t>Karan</t>
  </si>
  <si>
    <t>Arjun</t>
  </si>
  <si>
    <t>Sneha</t>
  </si>
  <si>
    <t>Rohit</t>
  </si>
  <si>
    <t>Female</t>
  </si>
  <si>
    <t>Male</t>
  </si>
  <si>
    <t>dept_name</t>
  </si>
  <si>
    <t>Finance</t>
  </si>
  <si>
    <t>HR</t>
  </si>
  <si>
    <t>IT</t>
  </si>
  <si>
    <t>Marketing</t>
  </si>
  <si>
    <t>Sales</t>
  </si>
  <si>
    <t>Row Labels</t>
  </si>
  <si>
    <t>Grand Total</t>
  </si>
  <si>
    <t>Count of emp_id</t>
  </si>
  <si>
    <t>Average of salary</t>
  </si>
  <si>
    <t>Average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</si>
</sst>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19" formatCode="dd/mm/yyyy"/>
    </dxf>
    <dxf>
      <numFmt numFmtId="164" formatCode="&quot;₹&quot;\ #,##0.0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0" formatCode="@"/>
    </dxf>
    <dxf>
      <numFmt numFmtId="0" formatCode="General"/>
    </dxf>
  </dxfs>
  <tableStyles count="0" defaultTableStyle="TableStyleMedium2" defaultPivotStyle="PivotStyleLight16"/>
  <colors>
    <mruColors>
      <color rgb="FF0E1A2B"/>
      <color rgb="FF39FF14"/>
      <color rgb="FF4E79A7"/>
      <color rgb="FFF9F871"/>
      <color rgb="FF101E34"/>
      <color rgb="FFFF7F11"/>
      <color rgb="FF0F1A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[sql.projectvisual.xlsx]KPIs!PivotTable3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salary by department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>
            <a:gsLst>
              <a:gs pos="18881">
                <a:schemeClr val="accent1">
                  <a:lumMod val="5000"/>
                  <a:lumOff val="95000"/>
                </a:schemeClr>
              </a:gs>
              <a:gs pos="4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KPIs!$E$3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8881">
                  <a:schemeClr val="accent1">
                    <a:lumMod val="5000"/>
                    <a:lumOff val="95000"/>
                  </a:schemeClr>
                </a:gs>
                <a:gs pos="4000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KPIs!$D$4:$D$8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KPIs!$E$4:$E$8</c:f>
              <c:numCache>
                <c:formatCode>General</c:formatCode>
                <c:ptCount val="4"/>
                <c:pt idx="0">
                  <c:v>67500</c:v>
                </c:pt>
                <c:pt idx="1">
                  <c:v>40000</c:v>
                </c:pt>
                <c:pt idx="2">
                  <c:v>52750</c:v>
                </c:pt>
                <c:pt idx="3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6-480B-80C0-EF0DFF9B2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451407"/>
        <c:axId val="1391452847"/>
      </c:barChart>
      <c:catAx>
        <c:axId val="13914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52847"/>
        <c:crosses val="autoZero"/>
        <c:auto val="1"/>
        <c:lblAlgn val="ctr"/>
        <c:lblOffset val="100"/>
        <c:noMultiLvlLbl val="0"/>
      </c:catAx>
      <c:valAx>
        <c:axId val="139145284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5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[sql.projectvisual.xlsx]KPIs!PivotTable5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employee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KPIs!$J$16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12-490D-BA0C-D492C89F183E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12-490D-BA0C-D492C89F18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KPIs!$I$17:$I$19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KPIs!$J$17:$J$19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12-490D-BA0C-D492C89F183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[sql.projectvisual.xlsx]KPIs!PivotTable2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employee by 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KPIs!$M$5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KPIs!$L$6:$L$10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KPIs!$M$6:$M$10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5-42B1-8FD5-86C546D1A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295935"/>
        <c:axId val="1233293535"/>
      </c:barChart>
      <c:catAx>
        <c:axId val="123329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293535"/>
        <c:crosses val="autoZero"/>
        <c:auto val="1"/>
        <c:lblAlgn val="ctr"/>
        <c:lblOffset val="100"/>
        <c:noMultiLvlLbl val="0"/>
      </c:catAx>
      <c:valAx>
        <c:axId val="123329353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29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[sql.projectvisual.xlsx]KPIs!PivotTable7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Age of Employees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39FF14"/>
              </a:gs>
              <a:gs pos="13000">
                <a:schemeClr val="bg1">
                  <a:lumMod val="95000"/>
                </a:schemeClr>
              </a:gs>
              <a:gs pos="35000">
                <a:srgbClr val="00B0F0"/>
              </a:gs>
              <a:gs pos="0">
                <a:schemeClr val="tx2">
                  <a:lumMod val="10000"/>
                  <a:lumOff val="90000"/>
                </a:schemeClr>
              </a:gs>
            </a:gsLst>
            <a:lin ang="5400000" scaled="1"/>
          </a:gradFill>
          <a:ln cmpd="sng">
            <a:solidFill>
              <a:schemeClr val="accent1">
                <a:shade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KPIs!$F$14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39FF14"/>
                </a:gs>
                <a:gs pos="13000">
                  <a:schemeClr val="bg1">
                    <a:lumMod val="95000"/>
                  </a:schemeClr>
                </a:gs>
                <a:gs pos="35000">
                  <a:srgbClr val="00B0F0"/>
                </a:gs>
                <a:gs pos="0">
                  <a:schemeClr val="tx2">
                    <a:lumMod val="10000"/>
                    <a:lumOff val="90000"/>
                  </a:schemeClr>
                </a:gs>
              </a:gsLst>
              <a:lin ang="5400000" scaled="1"/>
            </a:gradFill>
            <a:ln cmpd="sng">
              <a:solidFill>
                <a:schemeClr val="accent1">
                  <a:shade val="15000"/>
                </a:schemeClr>
              </a:solidFill>
            </a:ln>
            <a:effectLst/>
          </c:spPr>
          <c:invertIfNegative val="0"/>
          <c:cat>
            <c:strRef>
              <c:f>KPIs!$E$15:$E$19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KPIs!$F$15:$F$19</c:f>
              <c:numCache>
                <c:formatCode>General</c:formatCode>
                <c:ptCount val="4"/>
                <c:pt idx="0">
                  <c:v>32</c:v>
                </c:pt>
                <c:pt idx="1">
                  <c:v>26</c:v>
                </c:pt>
                <c:pt idx="2">
                  <c:v>29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9-44C8-8DDB-71BB864FF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4102975"/>
        <c:axId val="1294103455"/>
      </c:barChart>
      <c:catAx>
        <c:axId val="129410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03455"/>
        <c:crosses val="autoZero"/>
        <c:auto val="1"/>
        <c:lblAlgn val="ctr"/>
        <c:lblOffset val="100"/>
        <c:noMultiLvlLbl val="0"/>
      </c:catAx>
      <c:valAx>
        <c:axId val="129410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02975"/>
        <c:crosses val="autoZero"/>
        <c:crossBetween val="between"/>
      </c:valAx>
      <c:spPr>
        <a:solidFill>
          <a:srgbClr val="00B0F0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57727</xdr:colOff>
      <xdr:row>45</xdr:row>
      <xdr:rowOff>126999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BC83B58-7770-7D70-0F6E-0527665549C2}"/>
            </a:ext>
          </a:extLst>
        </xdr:cNvPr>
        <xdr:cNvSpPr/>
      </xdr:nvSpPr>
      <xdr:spPr>
        <a:xfrm>
          <a:off x="0" y="0"/>
          <a:ext cx="17803091" cy="84397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h</a:t>
          </a:r>
        </a:p>
      </xdr:txBody>
    </xdr:sp>
    <xdr:clientData/>
  </xdr:twoCellAnchor>
  <xdr:oneCellAnchor>
    <xdr:from>
      <xdr:col>5</xdr:col>
      <xdr:colOff>565728</xdr:colOff>
      <xdr:row>13</xdr:row>
      <xdr:rowOff>92363</xdr:rowOff>
    </xdr:from>
    <xdr:ext cx="21102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83A6E51-6C83-5060-830A-723551F54F13}"/>
            </a:ext>
          </a:extLst>
        </xdr:cNvPr>
        <xdr:cNvSpPr txBox="1"/>
      </xdr:nvSpPr>
      <xdr:spPr>
        <a:xfrm>
          <a:off x="3625273" y="2493818"/>
          <a:ext cx="2110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 </a:t>
          </a:r>
        </a:p>
      </xdr:txBody>
    </xdr:sp>
    <xdr:clientData/>
  </xdr:oneCellAnchor>
  <xdr:twoCellAnchor>
    <xdr:from>
      <xdr:col>15</xdr:col>
      <xdr:colOff>300183</xdr:colOff>
      <xdr:row>7</xdr:row>
      <xdr:rowOff>103912</xdr:rowOff>
    </xdr:from>
    <xdr:to>
      <xdr:col>22</xdr:col>
      <xdr:colOff>588819</xdr:colOff>
      <xdr:row>22</xdr:row>
      <xdr:rowOff>76203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749E3C-5FAC-4E46-9741-12BF3EB6C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369454</xdr:colOff>
      <xdr:row>23</xdr:row>
      <xdr:rowOff>69272</xdr:rowOff>
    </xdr:from>
    <xdr:to>
      <xdr:col>23</xdr:col>
      <xdr:colOff>46181</xdr:colOff>
      <xdr:row>38</xdr:row>
      <xdr:rowOff>41563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EBDB77-9281-4492-8972-09406BC3F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161634</xdr:colOff>
      <xdr:row>23</xdr:row>
      <xdr:rowOff>103907</xdr:rowOff>
    </xdr:from>
    <xdr:to>
      <xdr:col>13</xdr:col>
      <xdr:colOff>450271</xdr:colOff>
      <xdr:row>38</xdr:row>
      <xdr:rowOff>76198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D8DEC67-FF4B-45AC-893E-FFCEE07DF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219363</xdr:colOff>
      <xdr:row>7</xdr:row>
      <xdr:rowOff>80819</xdr:rowOff>
    </xdr:from>
    <xdr:to>
      <xdr:col>13</xdr:col>
      <xdr:colOff>508000</xdr:colOff>
      <xdr:row>22</xdr:row>
      <xdr:rowOff>53110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C38746-1C47-4C2E-B337-6A1439C16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10</xdr:col>
      <xdr:colOff>554182</xdr:colOff>
      <xdr:row>2</xdr:row>
      <xdr:rowOff>23091</xdr:rowOff>
    </xdr:from>
    <xdr:ext cx="4769960" cy="655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4475E6A-0B5C-664E-3821-F05A2240C044}"/>
            </a:ext>
          </a:extLst>
        </xdr:cNvPr>
        <xdr:cNvSpPr txBox="1"/>
      </xdr:nvSpPr>
      <xdr:spPr>
        <a:xfrm>
          <a:off x="6673273" y="392546"/>
          <a:ext cx="4769960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3600" b="1">
              <a:solidFill>
                <a:srgbClr val="0E1A2B"/>
              </a:solidFill>
            </a:rPr>
            <a:t>HR Analytics Dashboard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dha" refreshedDate="45996.877761689815" backgroundQuery="1" createdVersion="8" refreshedVersion="8" minRefreshableVersion="3" recordCount="0" supportSubquery="1" supportAdvancedDrill="1" xr:uid="{47386DBA-F170-4935-8E54-31841758D667}">
  <cacheSource type="external" connectionId="3"/>
  <cacheFields count="2">
    <cacheField name="[Measures].[Count of emp_id]" caption="Count of emp_id" numFmtId="0" hierarchy="14" level="32767"/>
    <cacheField name="[Table4].[dept_name].[dept_name]" caption="dept_name" numFmtId="0" hierarchy="9" level="1">
      <sharedItems count="4">
        <s v="Finance"/>
        <s v="HR"/>
        <s v="IT"/>
        <s v="Sales"/>
      </sharedItems>
    </cacheField>
  </cacheFields>
  <cacheHierarchies count="19">
    <cacheHierarchy uniqueName="[Table3].[emp_id]" caption="emp_id" attribute="1" defaultMemberUniqueName="[Table3].[emp_id].[All]" allUniqueName="[Table3].[emp_id].[All]" dimensionUniqueName="[Table3]" displayFolder="" count="0" memberValueDatatype="20" unbalanced="0"/>
    <cacheHierarchy uniqueName="[Table3].[emp_name]" caption="emp_name" attribute="1" defaultMemberUniqueName="[Table3].[emp_name].[All]" allUniqueName="[Table3].[emp_name].[All]" dimensionUniqueName="[Table3]" displayFolder="" count="0" memberValueDatatype="130" unbalanced="0"/>
    <cacheHierarchy uniqueName="[Table3].[gender]" caption="gender" attribute="1" defaultMemberUniqueName="[Table3].[gender].[All]" allUniqueName="[Table3].[gender].[All]" dimensionUniqueName="[Table3]" displayFolder="" count="0" memberValueDatatype="130" unbalanced="0"/>
    <cacheHierarchy uniqueName="[Table3].[age]" caption="age" attribute="1" defaultMemberUniqueName="[Table3].[age].[All]" allUniqueName="[Table3].[age].[All]" dimensionUniqueName="[Table3]" displayFolder="" count="0" memberValueDatatype="20" unbalanced="0"/>
    <cacheHierarchy uniqueName="[Table3].[salary]" caption="salary" attribute="1" defaultMemberUniqueName="[Table3].[salary].[All]" allUniqueName="[Table3].[salary].[All]" dimensionUniqueName="[Table3]" displayFolder="" count="0" memberValueDatatype="20" unbalanced="0"/>
    <cacheHierarchy uniqueName="[Table3].[dept_id]" caption="dept_id" attribute="1" defaultMemberUniqueName="[Table3].[dept_id].[All]" allUniqueName="[Table3].[dept_id].[All]" dimensionUniqueName="[Table3]" displayFolder="" count="0" memberValueDatatype="20" unbalanced="0"/>
    <cacheHierarchy uniqueName="[Table3].[join_date]" caption="join_date" attribute="1" time="1" defaultMemberUniqueName="[Table3].[join_date].[All]" allUniqueName="[Table3].[join_date].[All]" dimensionUniqueName="[Table3]" displayFolder="" count="0" memberValueDatatype="7" unbalanced="0"/>
    <cacheHierarchy uniqueName="[Table3].[position_job_role]" caption="position_job_role" attribute="1" defaultMemberUniqueName="[Table3].[position_job_role].[All]" allUniqueName="[Table3].[position_job_role].[All]" dimensionUniqueName="[Table3]" displayFolder="" count="0" memberValueDatatype="130" unbalanced="0"/>
    <cacheHierarchy uniqueName="[Table4].[dept_id]" caption="dept_id" attribute="1" defaultMemberUniqueName="[Table4].[dept_id].[All]" allUniqueName="[Table4].[dept_id].[All]" dimensionUniqueName="[Table4]" displayFolder="" count="0" memberValueDatatype="20" unbalanced="0"/>
    <cacheHierarchy uniqueName="[Table4].[dept_name]" caption="dept_name" attribute="1" defaultMemberUniqueName="[Table4].[dept_name].[All]" allUniqueName="[Table4].[dept_name].[All]" dimensionUniqueName="[Table4]" displayFolder="" count="2" memberValueDatatype="130" unbalanced="0">
      <fieldsUsage count="2">
        <fieldUsage x="-1"/>
        <fieldUsage x="1"/>
      </fieldsUsage>
    </cacheHierarchy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emp_id]" caption="Sum of emp_id" measure="1" displayFolder="" measureGroup="Table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_id]" caption="Count of emp_id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ge]" caption="Sum of age" measure="1" displayFolder="" measureGroup="Table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]" caption="Average of age" measure="1" displayFolder="" measureGroup="Table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3" uniqueName="[Table3]" caption="Table3"/>
    <dimension name="Table4" uniqueName="[Table4]" caption="Table4"/>
  </dimensions>
  <measureGroups count="2">
    <measureGroup name="Table3" caption="Table3"/>
    <measureGroup name="Table4" caption="Table4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dha" refreshedDate="45996.878286921296" backgroundQuery="1" createdVersion="8" refreshedVersion="8" minRefreshableVersion="3" recordCount="0" supportSubquery="1" supportAdvancedDrill="1" xr:uid="{D6438648-9666-4CD5-B432-726F44123F4F}">
  <cacheSource type="external" connectionId="3"/>
  <cacheFields count="2">
    <cacheField name="[Table4].[dept_name].[dept_name]" caption="dept_name" numFmtId="0" hierarchy="9" level="1">
      <sharedItems count="4">
        <s v="Finance"/>
        <s v="HR"/>
        <s v="IT"/>
        <s v="Sales"/>
      </sharedItems>
    </cacheField>
    <cacheField name="[Measures].[Average of salary]" caption="Average of salary" numFmtId="0" hierarchy="16" level="32767"/>
  </cacheFields>
  <cacheHierarchies count="19">
    <cacheHierarchy uniqueName="[Table3].[emp_id]" caption="emp_id" attribute="1" defaultMemberUniqueName="[Table3].[emp_id].[All]" allUniqueName="[Table3].[emp_id].[All]" dimensionUniqueName="[Table3]" displayFolder="" count="0" memberValueDatatype="20" unbalanced="0"/>
    <cacheHierarchy uniqueName="[Table3].[emp_name]" caption="emp_name" attribute="1" defaultMemberUniqueName="[Table3].[emp_name].[All]" allUniqueName="[Table3].[emp_name].[All]" dimensionUniqueName="[Table3]" displayFolder="" count="0" memberValueDatatype="130" unbalanced="0"/>
    <cacheHierarchy uniqueName="[Table3].[gender]" caption="gender" attribute="1" defaultMemberUniqueName="[Table3].[gender].[All]" allUniqueName="[Table3].[gender].[All]" dimensionUniqueName="[Table3]" displayFolder="" count="0" memberValueDatatype="130" unbalanced="0"/>
    <cacheHierarchy uniqueName="[Table3].[age]" caption="age" attribute="1" defaultMemberUniqueName="[Table3].[age].[All]" allUniqueName="[Table3].[age].[All]" dimensionUniqueName="[Table3]" displayFolder="" count="0" memberValueDatatype="20" unbalanced="0"/>
    <cacheHierarchy uniqueName="[Table3].[salary]" caption="salary" attribute="1" defaultMemberUniqueName="[Table3].[salary].[All]" allUniqueName="[Table3].[salary].[All]" dimensionUniqueName="[Table3]" displayFolder="" count="0" memberValueDatatype="20" unbalanced="0"/>
    <cacheHierarchy uniqueName="[Table3].[dept_id]" caption="dept_id" attribute="1" defaultMemberUniqueName="[Table3].[dept_id].[All]" allUniqueName="[Table3].[dept_id].[All]" dimensionUniqueName="[Table3]" displayFolder="" count="0" memberValueDatatype="20" unbalanced="0"/>
    <cacheHierarchy uniqueName="[Table3].[join_date]" caption="join_date" attribute="1" time="1" defaultMemberUniqueName="[Table3].[join_date].[All]" allUniqueName="[Table3].[join_date].[All]" dimensionUniqueName="[Table3]" displayFolder="" count="0" memberValueDatatype="7" unbalanced="0"/>
    <cacheHierarchy uniqueName="[Table3].[position_job_role]" caption="position_job_role" attribute="1" defaultMemberUniqueName="[Table3].[position_job_role].[All]" allUniqueName="[Table3].[position_job_role].[All]" dimensionUniqueName="[Table3]" displayFolder="" count="0" memberValueDatatype="130" unbalanced="0"/>
    <cacheHierarchy uniqueName="[Table4].[dept_id]" caption="dept_id" attribute="1" defaultMemberUniqueName="[Table4].[dept_id].[All]" allUniqueName="[Table4].[dept_id].[All]" dimensionUniqueName="[Table4]" displayFolder="" count="0" memberValueDatatype="20" unbalanced="0"/>
    <cacheHierarchy uniqueName="[Table4].[dept_name]" caption="dept_name" attribute="1" defaultMemberUniqueName="[Table4].[dept_name].[All]" allUniqueName="[Table4].[dept_name].[All]" dimensionUniqueName="[Table4]" displayFolder="" count="2" memberValueDatatype="130" unbalanced="0">
      <fieldsUsage count="2">
        <fieldUsage x="-1"/>
        <fieldUsage x="0"/>
      </fieldsUsage>
    </cacheHierarchy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emp_id]" caption="Sum of emp_id" measure="1" displayFolder="" measureGroup="Table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_id]" caption="Count of emp_id" measure="1" displayFolder="" measureGroup="Table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ge]" caption="Sum of age" measure="1" displayFolder="" measureGroup="Table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]" caption="Average of age" measure="1" displayFolder="" measureGroup="Table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3" uniqueName="[Table3]" caption="Table3"/>
    <dimension name="Table4" uniqueName="[Table4]" caption="Table4"/>
  </dimensions>
  <measureGroups count="2">
    <measureGroup name="Table3" caption="Table3"/>
    <measureGroup name="Table4" caption="Table4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dha" refreshedDate="45996.879421874997" backgroundQuery="1" createdVersion="8" refreshedVersion="8" minRefreshableVersion="3" recordCount="0" supportSubquery="1" supportAdvancedDrill="1" xr:uid="{974BCA5E-41B5-4FF0-9325-C4B67BDA0E08}">
  <cacheSource type="external" connectionId="3"/>
  <cacheFields count="2">
    <cacheField name="[Table3].[gender].[gender]" caption="gender" numFmtId="0" hierarchy="2" level="1">
      <sharedItems count="2">
        <s v="Female"/>
        <s v="Male"/>
      </sharedItems>
    </cacheField>
    <cacheField name="[Measures].[Count of emp_id]" caption="Count of emp_id" numFmtId="0" hierarchy="14" level="32767"/>
  </cacheFields>
  <cacheHierarchies count="19">
    <cacheHierarchy uniqueName="[Table3].[emp_id]" caption="emp_id" attribute="1" defaultMemberUniqueName="[Table3].[emp_id].[All]" allUniqueName="[Table3].[emp_id].[All]" dimensionUniqueName="[Table3]" displayFolder="" count="0" memberValueDatatype="20" unbalanced="0"/>
    <cacheHierarchy uniqueName="[Table3].[emp_name]" caption="emp_name" attribute="1" defaultMemberUniqueName="[Table3].[emp_name].[All]" allUniqueName="[Table3].[emp_name].[All]" dimensionUniqueName="[Table3]" displayFolder="" count="0" memberValueDatatype="130" unbalanced="0"/>
    <cacheHierarchy uniqueName="[Table3].[gender]" caption="gender" attribute="1" defaultMemberUniqueName="[Table3].[gender].[All]" allUniqueName="[Table3].[gender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age]" caption="age" attribute="1" defaultMemberUniqueName="[Table3].[age].[All]" allUniqueName="[Table3].[age].[All]" dimensionUniqueName="[Table3]" displayFolder="" count="0" memberValueDatatype="20" unbalanced="0"/>
    <cacheHierarchy uniqueName="[Table3].[salary]" caption="salary" attribute="1" defaultMemberUniqueName="[Table3].[salary].[All]" allUniqueName="[Table3].[salary].[All]" dimensionUniqueName="[Table3]" displayFolder="" count="0" memberValueDatatype="20" unbalanced="0"/>
    <cacheHierarchy uniqueName="[Table3].[dept_id]" caption="dept_id" attribute="1" defaultMemberUniqueName="[Table3].[dept_id].[All]" allUniqueName="[Table3].[dept_id].[All]" dimensionUniqueName="[Table3]" displayFolder="" count="0" memberValueDatatype="20" unbalanced="0"/>
    <cacheHierarchy uniqueName="[Table3].[join_date]" caption="join_date" attribute="1" time="1" defaultMemberUniqueName="[Table3].[join_date].[All]" allUniqueName="[Table3].[join_date].[All]" dimensionUniqueName="[Table3]" displayFolder="" count="0" memberValueDatatype="7" unbalanced="0"/>
    <cacheHierarchy uniqueName="[Table3].[position_job_role]" caption="position_job_role" attribute="1" defaultMemberUniqueName="[Table3].[position_job_role].[All]" allUniqueName="[Table3].[position_job_role].[All]" dimensionUniqueName="[Table3]" displayFolder="" count="0" memberValueDatatype="130" unbalanced="0"/>
    <cacheHierarchy uniqueName="[Table4].[dept_id]" caption="dept_id" attribute="1" defaultMemberUniqueName="[Table4].[dept_id].[All]" allUniqueName="[Table4].[dept_id].[All]" dimensionUniqueName="[Table4]" displayFolder="" count="0" memberValueDatatype="20" unbalanced="0"/>
    <cacheHierarchy uniqueName="[Table4].[dept_name]" caption="dept_name" attribute="1" defaultMemberUniqueName="[Table4].[dept_name].[All]" allUniqueName="[Table4].[dept_name].[All]" dimensionUniqueName="[Table4]" displayFolder="" count="0" memberValueDatatype="130" unbalanced="0"/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emp_id]" caption="Sum of emp_id" measure="1" displayFolder="" measureGroup="Table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_id]" caption="Count of emp_i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ge]" caption="Sum of age" measure="1" displayFolder="" measureGroup="Table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]" caption="Average of age" measure="1" displayFolder="" measureGroup="Table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3" uniqueName="[Table3]" caption="Table3"/>
    <dimension name="Table4" uniqueName="[Table4]" caption="Table4"/>
  </dimensions>
  <measureGroups count="2">
    <measureGroup name="Table3" caption="Table3"/>
    <measureGroup name="Table4" caption="Table4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dha" refreshedDate="45996.881139814817" backgroundQuery="1" createdVersion="8" refreshedVersion="8" minRefreshableVersion="3" recordCount="0" supportSubquery="1" supportAdvancedDrill="1" xr:uid="{970F35B1-976E-4E3F-B513-58395F8683CA}">
  <cacheSource type="external" connectionId="3"/>
  <cacheFields count="2">
    <cacheField name="[Table4].[dept_name].[dept_name]" caption="dept_name" numFmtId="0" hierarchy="9" level="1">
      <sharedItems count="4">
        <s v="Finance"/>
        <s v="HR"/>
        <s v="IT"/>
        <s v="Sales"/>
      </sharedItems>
    </cacheField>
    <cacheField name="[Measures].[Average of age]" caption="Average of age" numFmtId="0" hierarchy="18" level="32767"/>
  </cacheFields>
  <cacheHierarchies count="19">
    <cacheHierarchy uniqueName="[Table3].[emp_id]" caption="emp_id" attribute="1" defaultMemberUniqueName="[Table3].[emp_id].[All]" allUniqueName="[Table3].[emp_id].[All]" dimensionUniqueName="[Table3]" displayFolder="" count="0" memberValueDatatype="20" unbalanced="0"/>
    <cacheHierarchy uniqueName="[Table3].[emp_name]" caption="emp_name" attribute="1" defaultMemberUniqueName="[Table3].[emp_name].[All]" allUniqueName="[Table3].[emp_name].[All]" dimensionUniqueName="[Table3]" displayFolder="" count="0" memberValueDatatype="130" unbalanced="0"/>
    <cacheHierarchy uniqueName="[Table3].[gender]" caption="gender" attribute="1" defaultMemberUniqueName="[Table3].[gender].[All]" allUniqueName="[Table3].[gender].[All]" dimensionUniqueName="[Table3]" displayFolder="" count="0" memberValueDatatype="130" unbalanced="0"/>
    <cacheHierarchy uniqueName="[Table3].[age]" caption="age" attribute="1" defaultMemberUniqueName="[Table3].[age].[All]" allUniqueName="[Table3].[age].[All]" dimensionUniqueName="[Table3]" displayFolder="" count="0" memberValueDatatype="20" unbalanced="0"/>
    <cacheHierarchy uniqueName="[Table3].[salary]" caption="salary" attribute="1" defaultMemberUniqueName="[Table3].[salary].[All]" allUniqueName="[Table3].[salary].[All]" dimensionUniqueName="[Table3]" displayFolder="" count="0" memberValueDatatype="20" unbalanced="0"/>
    <cacheHierarchy uniqueName="[Table3].[dept_id]" caption="dept_id" attribute="1" defaultMemberUniqueName="[Table3].[dept_id].[All]" allUniqueName="[Table3].[dept_id].[All]" dimensionUniqueName="[Table3]" displayFolder="" count="0" memberValueDatatype="20" unbalanced="0"/>
    <cacheHierarchy uniqueName="[Table3].[join_date]" caption="join_date" attribute="1" time="1" defaultMemberUniqueName="[Table3].[join_date].[All]" allUniqueName="[Table3].[join_date].[All]" dimensionUniqueName="[Table3]" displayFolder="" count="0" memberValueDatatype="7" unbalanced="0"/>
    <cacheHierarchy uniqueName="[Table3].[position_job_role]" caption="position_job_role" attribute="1" defaultMemberUniqueName="[Table3].[position_job_role].[All]" allUniqueName="[Table3].[position_job_role].[All]" dimensionUniqueName="[Table3]" displayFolder="" count="0" memberValueDatatype="130" unbalanced="0"/>
    <cacheHierarchy uniqueName="[Table4].[dept_id]" caption="dept_id" attribute="1" defaultMemberUniqueName="[Table4].[dept_id].[All]" allUniqueName="[Table4].[dept_id].[All]" dimensionUniqueName="[Table4]" displayFolder="" count="0" memberValueDatatype="20" unbalanced="0"/>
    <cacheHierarchy uniqueName="[Table4].[dept_name]" caption="dept_name" attribute="1" defaultMemberUniqueName="[Table4].[dept_name].[All]" allUniqueName="[Table4].[dept_name].[All]" dimensionUniqueName="[Table4]" displayFolder="" count="2" memberValueDatatype="130" unbalanced="0">
      <fieldsUsage count="2">
        <fieldUsage x="-1"/>
        <fieldUsage x="0"/>
      </fieldsUsage>
    </cacheHierarchy>
    <cacheHierarchy uniqueName="[Measures].[__XL_Count Table3]" caption="__XL_Count Table3" measure="1" displayFolder="" measureGroup="Table3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emp_id]" caption="Sum of emp_id" measure="1" displayFolder="" measureGroup="Table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_id]" caption="Count of emp_id" measure="1" displayFolder="" measureGroup="Table3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ary]" caption="Sum of salary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ge]" caption="Sum of age" measure="1" displayFolder="" measureGroup="Table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]" caption="Average of age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3" uniqueName="[Table3]" caption="Table3"/>
    <dimension name="Table4" uniqueName="[Table4]" caption="Table4"/>
  </dimensions>
  <measureGroups count="2">
    <measureGroup name="Table3" caption="Table3"/>
    <measureGroup name="Table4" caption="Table4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ECEC8-ADA0-4A1C-BA9C-4E9AAB2F2102}" name="PivotTable7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E14:F1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ge" fld="1" subtotal="average" baseField="0" baseItem="0"/>
  </dataField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age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7C188-05A3-4737-A2BC-75AF41ACF576}" name="PivotTable5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I16:J1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emp_id" fld="1" subtotal="count" baseField="0" baseItem="0"/>
  </dataFields>
  <chartFormats count="6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emp_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F9CE9-E712-41D2-886C-AA6706FD9C26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3:E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1" subtotal="average" baseField="0" baseItem="0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salar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2D8C3-73FD-4C5E-B2F8-54BF3CB683C3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L5:M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_id" fld="0" subtotal="count" baseField="0" baseItem="0"/>
  </dataField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emp_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56DCD4-E46D-455B-9F59-3BF2DECF19A9}" name="Table4" displayName="Table4" ref="A1:B6" totalsRowShown="0">
  <autoFilter ref="A1:B6" xr:uid="{CF56DCD4-E46D-455B-9F59-3BF2DECF19A9}"/>
  <tableColumns count="2">
    <tableColumn id="1" xr3:uid="{3939E9BA-062F-45A0-9133-C91992FB5B66}" name="dept_id" dataDxfId="8"/>
    <tableColumn id="2" xr3:uid="{FF469C72-1E25-4E8A-9852-42EFA69DA0DA}" name="dept_nam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881FF-439A-4D44-AE4A-F8BEF6AD9D7C}" name="Table3" displayName="Table3" ref="A1:H10" totalsRowShown="0" tableBorderDxfId="5">
  <autoFilter ref="A1:H10" xr:uid="{088881FF-439A-4D44-AE4A-F8BEF6AD9D7C}"/>
  <tableColumns count="8">
    <tableColumn id="1" xr3:uid="{EC01016D-43F5-4F8C-91D4-91200AA9E0E6}" name="emp_id" dataDxfId="4"/>
    <tableColumn id="2" xr3:uid="{F0F4CADF-696C-435F-8F36-2792B4BAC4B7}" name="emp_name" dataDxfId="3"/>
    <tableColumn id="3" xr3:uid="{B5E597A2-A710-4B90-A4A1-F95D43AC2350}" name="gender"/>
    <tableColumn id="4" xr3:uid="{36AFF0CF-9771-40C9-A002-0120FC73A6A1}" name="age"/>
    <tableColumn id="5" xr3:uid="{2A845849-CBB2-4576-B52E-AB8112BF8E91}" name="salary" dataDxfId="2"/>
    <tableColumn id="6" xr3:uid="{5E714BD5-D3A5-4256-AA2D-1BA6AF2697BF}" name="dept_id"/>
    <tableColumn id="7" xr3:uid="{3181F304-6111-4A28-9067-AD665CEA356B}" name="join_date" dataDxfId="1"/>
    <tableColumn id="8" xr3:uid="{9AA8A34D-ABCE-4A7D-B359-1AD5FB02E255}" name="position_job_ro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B8CC-5EAC-4719-A76F-79729BEF7CD6}">
  <dimension ref="A1:B6"/>
  <sheetViews>
    <sheetView workbookViewId="0">
      <selection sqref="A1:B6"/>
    </sheetView>
  </sheetViews>
  <sheetFormatPr defaultRowHeight="14.4"/>
  <cols>
    <col min="1" max="1" width="17.77734375" bestFit="1" customWidth="1"/>
    <col min="2" max="2" width="12.21875" style="2" customWidth="1"/>
  </cols>
  <sheetData>
    <row r="1" spans="1:2">
      <c r="A1" t="s">
        <v>5</v>
      </c>
      <c r="B1" s="2" t="s">
        <v>23</v>
      </c>
    </row>
    <row r="2" spans="1:2">
      <c r="A2">
        <v>2</v>
      </c>
      <c r="B2" s="2" t="s">
        <v>24</v>
      </c>
    </row>
    <row r="3" spans="1:2">
      <c r="A3">
        <v>1</v>
      </c>
      <c r="B3" s="2" t="s">
        <v>25</v>
      </c>
    </row>
    <row r="4" spans="1:2">
      <c r="A4">
        <v>3</v>
      </c>
      <c r="B4" s="2" t="s">
        <v>26</v>
      </c>
    </row>
    <row r="5" spans="1:2">
      <c r="A5">
        <v>5</v>
      </c>
      <c r="B5" s="2" t="s">
        <v>27</v>
      </c>
    </row>
    <row r="6" spans="1:2">
      <c r="A6">
        <v>4</v>
      </c>
      <c r="B6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57E9-3211-453F-B2CF-C0018ECCDF63}">
  <dimension ref="A1:H10"/>
  <sheetViews>
    <sheetView workbookViewId="0">
      <selection activeCell="C20" sqref="C20"/>
    </sheetView>
  </sheetViews>
  <sheetFormatPr defaultRowHeight="14.4"/>
  <cols>
    <col min="1" max="1" width="9.109375" customWidth="1"/>
    <col min="2" max="2" width="12.109375" style="2" customWidth="1"/>
    <col min="5" max="5" width="10.44140625" style="3" bestFit="1" customWidth="1"/>
    <col min="6" max="6" width="9.21875" customWidth="1"/>
    <col min="7" max="7" width="11.44140625" style="1" customWidth="1"/>
    <col min="8" max="8" width="17.109375" style="2" customWidth="1"/>
  </cols>
  <sheetData>
    <row r="1" spans="1:8">
      <c r="A1" s="4" t="s">
        <v>0</v>
      </c>
      <c r="B1" s="2" t="s">
        <v>1</v>
      </c>
      <c r="C1" t="s">
        <v>2</v>
      </c>
      <c r="D1" t="s">
        <v>3</v>
      </c>
      <c r="E1" s="3" t="s">
        <v>4</v>
      </c>
      <c r="F1" t="s">
        <v>5</v>
      </c>
      <c r="G1" s="1" t="s">
        <v>6</v>
      </c>
      <c r="H1" s="2" t="s">
        <v>7</v>
      </c>
    </row>
    <row r="2" spans="1:8">
      <c r="A2" s="5">
        <v>101</v>
      </c>
      <c r="B2" s="2" t="s">
        <v>8</v>
      </c>
      <c r="C2" t="s">
        <v>22</v>
      </c>
      <c r="D2">
        <v>28</v>
      </c>
      <c r="E2" s="3">
        <v>48000</v>
      </c>
      <c r="F2">
        <v>3</v>
      </c>
      <c r="G2" s="1">
        <v>43997</v>
      </c>
      <c r="H2" s="2" t="s">
        <v>9</v>
      </c>
    </row>
    <row r="3" spans="1:8">
      <c r="A3" s="4">
        <v>102</v>
      </c>
      <c r="B3" s="2" t="s">
        <v>10</v>
      </c>
      <c r="C3" t="s">
        <v>21</v>
      </c>
      <c r="D3">
        <v>26</v>
      </c>
      <c r="E3" s="3">
        <v>40000</v>
      </c>
      <c r="F3">
        <v>1</v>
      </c>
      <c r="G3" s="1">
        <v>44206</v>
      </c>
      <c r="H3" s="2" t="s">
        <v>11</v>
      </c>
    </row>
    <row r="4" spans="1:8">
      <c r="A4" s="5">
        <v>103</v>
      </c>
      <c r="B4" s="2" t="s">
        <v>12</v>
      </c>
      <c r="C4" t="s">
        <v>22</v>
      </c>
      <c r="D4">
        <v>30</v>
      </c>
      <c r="E4" s="3">
        <v>55000</v>
      </c>
      <c r="F4">
        <v>3</v>
      </c>
      <c r="G4" s="1">
        <v>43697</v>
      </c>
      <c r="H4" s="2" t="s">
        <v>13</v>
      </c>
    </row>
    <row r="5" spans="1:8">
      <c r="A5" s="4">
        <v>104</v>
      </c>
      <c r="B5" s="2" t="s">
        <v>14</v>
      </c>
      <c r="C5" t="s">
        <v>21</v>
      </c>
      <c r="D5">
        <v>29</v>
      </c>
      <c r="E5" s="3">
        <v>60000</v>
      </c>
      <c r="F5">
        <v>2</v>
      </c>
      <c r="G5" s="1">
        <v>43171</v>
      </c>
      <c r="H5" s="2" t="s">
        <v>15</v>
      </c>
    </row>
    <row r="6" spans="1:8">
      <c r="A6" s="5">
        <v>105</v>
      </c>
      <c r="B6" s="2" t="s">
        <v>16</v>
      </c>
      <c r="C6" t="s">
        <v>21</v>
      </c>
      <c r="D6">
        <v>25</v>
      </c>
      <c r="E6" s="3">
        <v>35000</v>
      </c>
      <c r="F6">
        <v>4</v>
      </c>
      <c r="G6" s="1">
        <v>44610</v>
      </c>
      <c r="H6" s="2" t="s">
        <v>15</v>
      </c>
    </row>
    <row r="7" spans="1:8">
      <c r="A7" s="4">
        <v>106</v>
      </c>
      <c r="B7" s="2" t="s">
        <v>17</v>
      </c>
      <c r="C7" t="s">
        <v>22</v>
      </c>
      <c r="D7">
        <v>35</v>
      </c>
      <c r="E7" s="3">
        <v>75000</v>
      </c>
      <c r="F7">
        <v>2</v>
      </c>
      <c r="G7" s="1">
        <v>43044</v>
      </c>
      <c r="H7" s="2" t="s">
        <v>15</v>
      </c>
    </row>
    <row r="8" spans="1:8">
      <c r="A8" s="5">
        <v>107</v>
      </c>
      <c r="B8" s="2" t="s">
        <v>18</v>
      </c>
      <c r="C8" t="s">
        <v>22</v>
      </c>
      <c r="D8">
        <v>27</v>
      </c>
      <c r="E8" s="3">
        <v>38000</v>
      </c>
      <c r="F8">
        <v>3</v>
      </c>
      <c r="G8" s="1">
        <v>44083</v>
      </c>
      <c r="H8" s="2" t="s">
        <v>15</v>
      </c>
    </row>
    <row r="9" spans="1:8">
      <c r="A9" s="4">
        <v>108</v>
      </c>
      <c r="B9" s="2" t="s">
        <v>19</v>
      </c>
      <c r="C9" t="s">
        <v>21</v>
      </c>
      <c r="D9">
        <v>31</v>
      </c>
      <c r="E9" s="3">
        <v>70000</v>
      </c>
      <c r="F9">
        <v>3</v>
      </c>
      <c r="G9" s="1">
        <v>42485</v>
      </c>
      <c r="H9" s="2" t="s">
        <v>15</v>
      </c>
    </row>
    <row r="10" spans="1:8">
      <c r="A10" s="6">
        <v>109</v>
      </c>
      <c r="B10" s="2" t="s">
        <v>20</v>
      </c>
      <c r="C10" t="s">
        <v>22</v>
      </c>
      <c r="D10">
        <v>33</v>
      </c>
      <c r="E10" s="3">
        <v>65000</v>
      </c>
      <c r="F10">
        <v>4</v>
      </c>
      <c r="G10" s="1">
        <v>43656</v>
      </c>
      <c r="H10" s="2" t="s">
        <v>15</v>
      </c>
    </row>
  </sheetData>
  <sortState xmlns:xlrd2="http://schemas.microsoft.com/office/spreadsheetml/2017/richdata2" ref="A2:H10">
    <sortCondition sortBy="fontColor" ref="A7:A10" dxfId="6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FE08-7938-485E-9E3A-79983F63D728}">
  <dimension ref="D3:M19"/>
  <sheetViews>
    <sheetView topLeftCell="B1" workbookViewId="0">
      <selection activeCell="F17" sqref="F17"/>
    </sheetView>
  </sheetViews>
  <sheetFormatPr defaultRowHeight="14.4"/>
  <cols>
    <col min="3" max="5" width="12.44140625" bestFit="1" customWidth="1"/>
    <col min="6" max="6" width="12.6640625" bestFit="1" customWidth="1"/>
    <col min="7" max="7" width="12.44140625" bestFit="1" customWidth="1"/>
    <col min="8" max="8" width="12.6640625" bestFit="1" customWidth="1"/>
    <col min="9" max="9" width="12.44140625" bestFit="1" customWidth="1"/>
    <col min="10" max="10" width="14.44140625" bestFit="1" customWidth="1"/>
    <col min="12" max="12" width="12.44140625" bestFit="1" customWidth="1"/>
    <col min="13" max="13" width="14.44140625" bestFit="1" customWidth="1"/>
  </cols>
  <sheetData>
    <row r="3" spans="4:13">
      <c r="D3" s="7" t="s">
        <v>29</v>
      </c>
      <c r="E3" t="s">
        <v>32</v>
      </c>
    </row>
    <row r="4" spans="4:13">
      <c r="D4" s="8" t="s">
        <v>24</v>
      </c>
      <c r="E4" s="9">
        <v>67500</v>
      </c>
    </row>
    <row r="5" spans="4:13">
      <c r="D5" s="8" t="s">
        <v>25</v>
      </c>
      <c r="E5" s="9">
        <v>40000</v>
      </c>
      <c r="L5" s="7" t="s">
        <v>29</v>
      </c>
      <c r="M5" t="s">
        <v>31</v>
      </c>
    </row>
    <row r="6" spans="4:13">
      <c r="D6" s="8" t="s">
        <v>26</v>
      </c>
      <c r="E6" s="9">
        <v>52750</v>
      </c>
      <c r="L6" s="8" t="s">
        <v>24</v>
      </c>
      <c r="M6" s="9">
        <v>2</v>
      </c>
    </row>
    <row r="7" spans="4:13">
      <c r="D7" s="8" t="s">
        <v>28</v>
      </c>
      <c r="E7" s="9">
        <v>50000</v>
      </c>
      <c r="L7" s="8" t="s">
        <v>25</v>
      </c>
      <c r="M7" s="9">
        <v>1</v>
      </c>
    </row>
    <row r="8" spans="4:13">
      <c r="D8" s="8" t="s">
        <v>30</v>
      </c>
      <c r="E8" s="9">
        <v>54000</v>
      </c>
      <c r="L8" s="8" t="s">
        <v>26</v>
      </c>
      <c r="M8" s="9">
        <v>4</v>
      </c>
    </row>
    <row r="9" spans="4:13">
      <c r="L9" s="8" t="s">
        <v>28</v>
      </c>
      <c r="M9" s="9">
        <v>2</v>
      </c>
    </row>
    <row r="10" spans="4:13">
      <c r="L10" s="8" t="s">
        <v>30</v>
      </c>
      <c r="M10" s="9">
        <v>9</v>
      </c>
    </row>
    <row r="14" spans="4:13">
      <c r="E14" s="7" t="s">
        <v>29</v>
      </c>
      <c r="F14" t="s">
        <v>33</v>
      </c>
    </row>
    <row r="15" spans="4:13">
      <c r="E15" s="8" t="s">
        <v>24</v>
      </c>
      <c r="F15" s="9">
        <v>32</v>
      </c>
    </row>
    <row r="16" spans="4:13">
      <c r="E16" s="8" t="s">
        <v>25</v>
      </c>
      <c r="F16" s="9">
        <v>26</v>
      </c>
      <c r="I16" s="7" t="s">
        <v>29</v>
      </c>
      <c r="J16" t="s">
        <v>31</v>
      </c>
    </row>
    <row r="17" spans="5:10">
      <c r="E17" s="8" t="s">
        <v>26</v>
      </c>
      <c r="F17" s="9">
        <v>29</v>
      </c>
      <c r="I17" s="8" t="s">
        <v>21</v>
      </c>
      <c r="J17" s="9">
        <v>4</v>
      </c>
    </row>
    <row r="18" spans="5:10">
      <c r="E18" s="8" t="s">
        <v>28</v>
      </c>
      <c r="F18" s="9">
        <v>29</v>
      </c>
      <c r="I18" s="8" t="s">
        <v>22</v>
      </c>
      <c r="J18" s="9">
        <v>5</v>
      </c>
    </row>
    <row r="19" spans="5:10">
      <c r="E19" s="8" t="s">
        <v>30</v>
      </c>
      <c r="F19" s="9">
        <v>29.333333333333332</v>
      </c>
      <c r="I19" s="8" t="s">
        <v>30</v>
      </c>
      <c r="J19" s="9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43B6-5E4A-4136-A620-60E4455D55D3}">
  <dimension ref="A1"/>
  <sheetViews>
    <sheetView showGridLines="0" tabSelected="1" zoomScale="66" zoomScaleNormal="66" workbookViewId="0">
      <selection activeCell="T5" sqref="T5"/>
    </sheetView>
  </sheetViews>
  <sheetFormatPr defaultRowHeight="14.4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38E5C5-7CDD-4FC5-8B56-060B2C2525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</vt:lpstr>
      <vt:lpstr>employee</vt:lpstr>
      <vt:lpstr>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shradhasgadag163@gmail.com</dc:creator>
  <cp:lastModifiedBy>shradhasgadag163@gmail.com</cp:lastModifiedBy>
  <dcterms:created xsi:type="dcterms:W3CDTF">2025-12-02T16:23:39Z</dcterms:created>
  <dcterms:modified xsi:type="dcterms:W3CDTF">2025-12-05T16:05:33Z</dcterms:modified>
</cp:coreProperties>
</file>